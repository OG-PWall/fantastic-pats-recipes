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213d3efaa0b77/Documents/bread/bread/Download recipes/"/>
    </mc:Choice>
  </mc:AlternateContent>
  <xr:revisionPtr revIDLastSave="4" documentId="8_{89545635-ADE2-429D-B0D7-ACA1AD375F6D}" xr6:coauthVersionLast="47" xr6:coauthVersionMax="47" xr10:uidLastSave="{1E3A67CD-C596-44C8-92AB-DF661DB2FB83}"/>
  <bookViews>
    <workbookView xWindow="-120" yWindow="-120" windowWidth="29040" windowHeight="15720" xr2:uid="{AF1734DD-2EE7-499B-8A98-4A5B66208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K20" i="1"/>
  <c r="L14" i="1" s="1"/>
  <c r="G20" i="1"/>
  <c r="J19" i="1"/>
  <c r="F16" i="1"/>
  <c r="J15" i="1"/>
  <c r="F15" i="1"/>
  <c r="D5" i="1"/>
  <c r="L18" i="1" l="1"/>
  <c r="L15" i="1"/>
  <c r="L19" i="1"/>
  <c r="D19" i="1" s="1"/>
  <c r="L17" i="1"/>
  <c r="L16" i="1"/>
  <c r="L20" i="1" l="1"/>
  <c r="H14" i="1"/>
  <c r="D8" i="1"/>
  <c r="H15" i="1" s="1"/>
  <c r="D14" i="1" l="1"/>
  <c r="C19" i="1" s="1"/>
  <c r="H16" i="1"/>
  <c r="D16" i="1" s="1"/>
  <c r="H18" i="1"/>
  <c r="D18" i="1" s="1"/>
  <c r="C18" i="1" s="1"/>
  <c r="D15" i="1"/>
  <c r="D10" i="1" l="1"/>
  <c r="H20" i="1"/>
  <c r="C15" i="1"/>
  <c r="D20" i="1"/>
  <c r="C16" i="1"/>
  <c r="C20" i="1" l="1"/>
  <c r="D7" i="1" s="1"/>
</calcChain>
</file>

<file path=xl/sharedStrings.xml><?xml version="1.0" encoding="utf-8"?>
<sst xmlns="http://schemas.openxmlformats.org/spreadsheetml/2006/main" count="51" uniqueCount="43">
  <si>
    <t>100% Whole Wheat Sourdough</t>
  </si>
  <si>
    <t>Batards</t>
  </si>
  <si>
    <t>Batard Weight</t>
  </si>
  <si>
    <t>Total Dough Weight</t>
  </si>
  <si>
    <t>Total prefermented flour</t>
  </si>
  <si>
    <t>Total flour in formula</t>
  </si>
  <si>
    <t xml:space="preserve">Total levain </t>
  </si>
  <si>
    <t>Levain Buffer</t>
  </si>
  <si>
    <t>Total hydration</t>
  </si>
  <si>
    <t>Ingredients</t>
  </si>
  <si>
    <t>Total Formula</t>
  </si>
  <si>
    <t>WW Levain</t>
  </si>
  <si>
    <t>Final Mix</t>
  </si>
  <si>
    <t>%</t>
  </si>
  <si>
    <t>Weight</t>
  </si>
  <si>
    <t>Total Flour</t>
  </si>
  <si>
    <t>% of final dough</t>
  </si>
  <si>
    <t>Whole wheat flour</t>
  </si>
  <si>
    <t>Water1</t>
  </si>
  <si>
    <t>Water2</t>
  </si>
  <si>
    <t xml:space="preserve">levain </t>
  </si>
  <si>
    <t>Salt</t>
  </si>
  <si>
    <t>Total</t>
  </si>
  <si>
    <t>Process (Levain)</t>
  </si>
  <si>
    <t>Mix the Levain and leave stand 3 hours @ 26C</t>
  </si>
  <si>
    <t>Process (Final Dough)</t>
  </si>
  <si>
    <t xml:space="preserve">Autolyse </t>
  </si>
  <si>
    <t>D.D.T.</t>
  </si>
  <si>
    <t>First fermentation</t>
  </si>
  <si>
    <t xml:space="preserve">Divide </t>
  </si>
  <si>
    <t>0.900 kg boule</t>
  </si>
  <si>
    <t xml:space="preserve">Resting time </t>
  </si>
  <si>
    <t>25 to 30 minutes</t>
  </si>
  <si>
    <t xml:space="preserve">Final shape </t>
  </si>
  <si>
    <t>Boule or batard</t>
  </si>
  <si>
    <t>Final proof</t>
  </si>
  <si>
    <t>12 – 18 hours in the Fridge</t>
  </si>
  <si>
    <t>Bake</t>
  </si>
  <si>
    <t>Bake with steam at the beginning for 20 minutes at 450-485°F, then vent for 20 minutes</t>
  </si>
  <si>
    <t>Water</t>
  </si>
  <si>
    <t>24-25C/ 75.2-77F</t>
  </si>
  <si>
    <t>3-3.5 hours with 3 folds</t>
  </si>
  <si>
    <t>90-120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</si>
</sst>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\ \k\g"/>
    <numFmt numFmtId="166" formatCode="0.0%"/>
    <numFmt numFmtId="167" formatCode="0.00\ \k\g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DE6B43"/>
      <name val="Calibri"/>
      <family val="2"/>
      <scheme val="minor"/>
    </font>
    <font>
      <b/>
      <sz val="14"/>
      <color rgb="FFDE6B4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3DAF8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390"/>
        <bgColor indexed="64"/>
      </patternFill>
    </fill>
    <fill>
      <patternFill patternType="solid">
        <fgColor rgb="FF3DAF8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 applyAlignment="1">
      <alignment horizontal="centerContinuous"/>
    </xf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66" fontId="0" fillId="0" borderId="0" xfId="1" applyNumberFormat="1" applyFont="1" applyFill="1"/>
    <xf numFmtId="10" fontId="0" fillId="0" borderId="0" xfId="1" applyNumberFormat="1" applyFont="1"/>
    <xf numFmtId="166" fontId="0" fillId="0" borderId="0" xfId="1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/>
    <xf numFmtId="10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right"/>
    </xf>
    <xf numFmtId="9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0" fillId="0" borderId="0" xfId="1" applyNumberFormat="1" applyFont="1" applyFill="1"/>
    <xf numFmtId="166" fontId="0" fillId="2" borderId="0" xfId="1" applyNumberFormat="1" applyFont="1" applyFill="1"/>
    <xf numFmtId="2" fontId="0" fillId="0" borderId="0" xfId="0" applyNumberFormat="1"/>
    <xf numFmtId="167" fontId="0" fillId="0" borderId="0" xfId="0" applyNumberFormat="1"/>
    <xf numFmtId="165" fontId="3" fillId="0" borderId="0" xfId="0" applyNumberFormat="1" applyFont="1"/>
    <xf numFmtId="0" fontId="3" fillId="0" borderId="0" xfId="0" applyFont="1"/>
    <xf numFmtId="10" fontId="3" fillId="0" borderId="1" xfId="0" applyNumberFormat="1" applyFont="1" applyBorder="1"/>
    <xf numFmtId="165" fontId="3" fillId="0" borderId="1" xfId="0" applyNumberFormat="1" applyFont="1" applyBorder="1"/>
    <xf numFmtId="0" fontId="7" fillId="0" borderId="0" xfId="0" applyFont="1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matthewjamesduffy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12700</xdr:rowOff>
    </xdr:from>
    <xdr:to>
      <xdr:col>0</xdr:col>
      <xdr:colOff>533400</xdr:colOff>
      <xdr:row>0</xdr:row>
      <xdr:rowOff>452840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FC562-6EB6-414C-87A5-1D08194CA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00"/>
          <a:ext cx="447675" cy="44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0</xdr:row>
      <xdr:rowOff>12700</xdr:rowOff>
    </xdr:from>
    <xdr:to>
      <xdr:col>0</xdr:col>
      <xdr:colOff>533400</xdr:colOff>
      <xdr:row>0</xdr:row>
      <xdr:rowOff>452840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1E63D3-0CEA-4D58-BB96-8A9D6EA4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00"/>
          <a:ext cx="447675" cy="44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0</xdr:row>
      <xdr:rowOff>12700</xdr:rowOff>
    </xdr:from>
    <xdr:to>
      <xdr:col>0</xdr:col>
      <xdr:colOff>533400</xdr:colOff>
      <xdr:row>0</xdr:row>
      <xdr:rowOff>452840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4FAEFE-9377-4910-B4FE-8FAA99CC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00"/>
          <a:ext cx="447675" cy="44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0</xdr:row>
      <xdr:rowOff>12700</xdr:rowOff>
    </xdr:from>
    <xdr:to>
      <xdr:col>0</xdr:col>
      <xdr:colOff>533400</xdr:colOff>
      <xdr:row>0</xdr:row>
      <xdr:rowOff>452840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5481E-30FE-45CC-991E-39EE69EF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00"/>
          <a:ext cx="447675" cy="44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0</xdr:row>
      <xdr:rowOff>12700</xdr:rowOff>
    </xdr:from>
    <xdr:to>
      <xdr:col>0</xdr:col>
      <xdr:colOff>533400</xdr:colOff>
      <xdr:row>0</xdr:row>
      <xdr:rowOff>452840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764BA-AA59-4ACE-8635-5775AB3B8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00"/>
          <a:ext cx="447675" cy="44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0201-0CF7-446A-A498-6A78C27D84D9}">
  <dimension ref="B1:R46"/>
  <sheetViews>
    <sheetView tabSelected="1" workbookViewId="0">
      <selection activeCell="D6" sqref="D6"/>
    </sheetView>
  </sheetViews>
  <sheetFormatPr defaultRowHeight="15" x14ac:dyDescent="0.25"/>
  <cols>
    <col min="2" max="2" width="18.85546875" customWidth="1"/>
    <col min="3" max="3" width="9.28515625" customWidth="1"/>
    <col min="4" max="4" width="11" customWidth="1"/>
    <col min="5" max="5" width="1.7109375" customWidth="1"/>
    <col min="6" max="6" width="18.85546875" customWidth="1"/>
    <col min="7" max="7" width="9.28515625" customWidth="1"/>
    <col min="8" max="8" width="11" customWidth="1"/>
    <col min="9" max="9" width="1.7109375" customWidth="1"/>
    <col min="10" max="11" width="18.85546875" customWidth="1"/>
    <col min="12" max="13" width="11" customWidth="1"/>
    <col min="14" max="14" width="16.7109375" bestFit="1" customWidth="1"/>
    <col min="15" max="15" width="9.7109375" bestFit="1" customWidth="1"/>
    <col min="16" max="16" width="16.7109375" bestFit="1" customWidth="1"/>
  </cols>
  <sheetData>
    <row r="1" spans="2:16" ht="36" x14ac:dyDescent="0.5500000000000000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2:16" x14ac:dyDescent="0.25">
      <c r="B3" t="s">
        <v>1</v>
      </c>
      <c r="D3" s="2">
        <v>2</v>
      </c>
      <c r="E3" s="3"/>
      <c r="F3" s="4"/>
    </row>
    <row r="4" spans="2:16" x14ac:dyDescent="0.25">
      <c r="B4" t="s">
        <v>2</v>
      </c>
      <c r="D4" s="5">
        <v>0.9</v>
      </c>
      <c r="E4" s="3"/>
      <c r="F4" s="3"/>
      <c r="K4" s="4"/>
    </row>
    <row r="5" spans="2:16" x14ac:dyDescent="0.25">
      <c r="B5" t="s">
        <v>3</v>
      </c>
      <c r="D5" s="6">
        <f>D3*D4</f>
        <v>1.8</v>
      </c>
      <c r="E5" s="3"/>
      <c r="F5" s="3"/>
    </row>
    <row r="6" spans="2:16" x14ac:dyDescent="0.25">
      <c r="B6" t="s">
        <v>4</v>
      </c>
      <c r="D6" s="7">
        <f>H14/(D14+D18/2)</f>
        <v>3.8119440914866576E-2</v>
      </c>
      <c r="F6" s="8"/>
    </row>
    <row r="7" spans="2:16" x14ac:dyDescent="0.25">
      <c r="B7" t="s">
        <v>5</v>
      </c>
      <c r="D7" s="6">
        <f>($D$5+$D$9)/C20</f>
        <v>0.91376601901612231</v>
      </c>
      <c r="F7" s="3"/>
    </row>
    <row r="8" spans="2:16" x14ac:dyDescent="0.25">
      <c r="B8" t="s">
        <v>6</v>
      </c>
      <c r="D8" s="6">
        <f>L18+D9</f>
        <v>0.1053658536585366</v>
      </c>
      <c r="F8" s="3"/>
    </row>
    <row r="9" spans="2:16" x14ac:dyDescent="0.25">
      <c r="B9" t="s">
        <v>7</v>
      </c>
      <c r="D9" s="5">
        <v>0</v>
      </c>
    </row>
    <row r="10" spans="2:16" x14ac:dyDescent="0.25">
      <c r="B10" t="s">
        <v>8</v>
      </c>
      <c r="D10" s="9">
        <f>(D16+(H18/2))/(D15+(H18/2))</f>
        <v>0.90044472681067345</v>
      </c>
    </row>
    <row r="12" spans="2:16" s="11" customFormat="1" ht="18.75" x14ac:dyDescent="0.3">
      <c r="B12" s="10" t="s">
        <v>9</v>
      </c>
      <c r="C12" s="31" t="s">
        <v>10</v>
      </c>
      <c r="D12" s="31"/>
      <c r="G12" s="31" t="s">
        <v>11</v>
      </c>
      <c r="H12" s="31"/>
      <c r="K12" s="31" t="s">
        <v>12</v>
      </c>
      <c r="L12" s="31"/>
      <c r="M12" s="10"/>
    </row>
    <row r="13" spans="2:16" x14ac:dyDescent="0.25">
      <c r="C13" s="12" t="s">
        <v>13</v>
      </c>
      <c r="D13" s="12" t="s">
        <v>14</v>
      </c>
      <c r="G13" s="12" t="s">
        <v>13</v>
      </c>
      <c r="H13" s="12" t="s">
        <v>14</v>
      </c>
      <c r="K13" s="12" t="s">
        <v>13</v>
      </c>
      <c r="L13" s="12" t="s">
        <v>14</v>
      </c>
      <c r="M13" s="13"/>
      <c r="P13" s="3"/>
    </row>
    <row r="14" spans="2:16" x14ac:dyDescent="0.25">
      <c r="B14" s="14" t="s">
        <v>15</v>
      </c>
      <c r="C14" s="15">
        <v>1</v>
      </c>
      <c r="D14" s="16">
        <f>H14+L14</f>
        <v>0.91376601901612253</v>
      </c>
      <c r="E14" s="14"/>
      <c r="F14" s="14" t="s">
        <v>15</v>
      </c>
      <c r="G14" s="17">
        <v>1</v>
      </c>
      <c r="H14" s="16">
        <f>L18/G20</f>
        <v>3.5717238528317485E-2</v>
      </c>
      <c r="I14" s="14"/>
      <c r="J14" s="14" t="s">
        <v>15</v>
      </c>
      <c r="K14" s="18" t="s">
        <v>16</v>
      </c>
      <c r="L14" s="16">
        <f>D5/K20</f>
        <v>0.87804878048780499</v>
      </c>
      <c r="M14" s="6"/>
      <c r="O14" s="3"/>
      <c r="P14" s="3"/>
    </row>
    <row r="15" spans="2:16" x14ac:dyDescent="0.25">
      <c r="B15" t="s">
        <v>17</v>
      </c>
      <c r="C15" s="19">
        <f>D15/D14</f>
        <v>1</v>
      </c>
      <c r="D15" s="6">
        <f>H15+L15</f>
        <v>0.91376601901612253</v>
      </c>
      <c r="F15" t="str">
        <f>B15</f>
        <v>Whole wheat flour</v>
      </c>
      <c r="G15" s="20">
        <v>1</v>
      </c>
      <c r="H15" s="6">
        <f>D8/G20</f>
        <v>3.5717238528317485E-2</v>
      </c>
      <c r="I15" s="6"/>
      <c r="J15" t="str">
        <f>B15</f>
        <v>Whole wheat flour</v>
      </c>
      <c r="K15" s="20">
        <v>1</v>
      </c>
      <c r="L15" s="6">
        <f>L14*K15</f>
        <v>0.87804878048780499</v>
      </c>
      <c r="M15" s="6"/>
      <c r="O15" s="21"/>
      <c r="P15" s="3"/>
    </row>
    <row r="16" spans="2:16" x14ac:dyDescent="0.25">
      <c r="B16" t="s">
        <v>39</v>
      </c>
      <c r="C16" s="19">
        <f>D16/D14</f>
        <v>0.89791530944625408</v>
      </c>
      <c r="D16" s="6">
        <f>H16+L16+L17</f>
        <v>0.82048449772633336</v>
      </c>
      <c r="F16" t="str">
        <f>B16</f>
        <v>Water</v>
      </c>
      <c r="G16" s="20">
        <v>0.65</v>
      </c>
      <c r="H16" s="6">
        <f>H15*G16</f>
        <v>2.3216205043406365E-2</v>
      </c>
      <c r="I16" s="6"/>
      <c r="J16" t="s">
        <v>18</v>
      </c>
      <c r="K16" s="20">
        <v>0.85</v>
      </c>
      <c r="L16" s="6">
        <f>L14*K16</f>
        <v>0.74634146341463425</v>
      </c>
      <c r="M16" s="22"/>
      <c r="O16" s="21"/>
    </row>
    <row r="17" spans="2:18" x14ac:dyDescent="0.25">
      <c r="C17" s="19"/>
      <c r="D17" s="6"/>
      <c r="G17" s="20"/>
      <c r="H17" s="6"/>
      <c r="I17" s="6"/>
      <c r="J17" t="s">
        <v>19</v>
      </c>
      <c r="K17" s="20">
        <v>5.8000000000000003E-2</v>
      </c>
      <c r="L17" s="6">
        <f>L14*K17</f>
        <v>5.0926829268292693E-2</v>
      </c>
      <c r="M17" s="22"/>
      <c r="O17" s="21"/>
    </row>
    <row r="18" spans="2:18" x14ac:dyDescent="0.25">
      <c r="B18" t="s">
        <v>20</v>
      </c>
      <c r="C18" s="19">
        <f>D18/D14</f>
        <v>5.0814332247556993E-2</v>
      </c>
      <c r="D18" s="6">
        <f>H18</f>
        <v>4.6432410086812731E-2</v>
      </c>
      <c r="F18" t="s">
        <v>20</v>
      </c>
      <c r="G18" s="20">
        <v>1.3</v>
      </c>
      <c r="H18" s="6">
        <f>H15*G18</f>
        <v>4.6432410086812731E-2</v>
      </c>
      <c r="I18" s="6"/>
      <c r="J18" t="s">
        <v>20</v>
      </c>
      <c r="K18" s="20">
        <v>0.12</v>
      </c>
      <c r="L18" s="6">
        <f>L14*K18</f>
        <v>0.1053658536585366</v>
      </c>
      <c r="M18" s="22"/>
      <c r="O18" s="21"/>
    </row>
    <row r="19" spans="2:18" x14ac:dyDescent="0.25">
      <c r="B19" t="s">
        <v>21</v>
      </c>
      <c r="C19" s="19">
        <f>D19/D14</f>
        <v>2.11400651465798E-2</v>
      </c>
      <c r="D19" s="6">
        <f>L19</f>
        <v>1.9317073170731707E-2</v>
      </c>
      <c r="G19" s="20"/>
      <c r="J19" t="str">
        <f>B19</f>
        <v>Salt</v>
      </c>
      <c r="K19" s="20">
        <v>2.1999999999999999E-2</v>
      </c>
      <c r="L19" s="6">
        <f>L14*K19</f>
        <v>1.9317073170731707E-2</v>
      </c>
      <c r="M19" s="23"/>
    </row>
    <row r="20" spans="2:18" x14ac:dyDescent="0.25">
      <c r="B20" s="24" t="s">
        <v>22</v>
      </c>
      <c r="C20" s="25">
        <f>SUM(C15:C19)</f>
        <v>1.969869706840391</v>
      </c>
      <c r="D20" s="26">
        <f>SUM(D15:D19)</f>
        <v>1.8000000000000003</v>
      </c>
      <c r="E20" s="24"/>
      <c r="F20" s="24"/>
      <c r="G20" s="25">
        <f>SUM(G15:G19)</f>
        <v>2.95</v>
      </c>
      <c r="H20" s="26">
        <f>SUM(H15:H19)</f>
        <v>0.10536585365853658</v>
      </c>
      <c r="I20" s="23"/>
      <c r="J20" s="23"/>
      <c r="K20" s="25">
        <f>SUM(K15:K19)</f>
        <v>2.0499999999999998</v>
      </c>
      <c r="L20" s="26">
        <f>SUM(L15:L19)</f>
        <v>1.8000000000000003</v>
      </c>
    </row>
    <row r="22" spans="2:18" ht="18.75" x14ac:dyDescent="0.3">
      <c r="B22" s="27" t="s">
        <v>23</v>
      </c>
      <c r="H22" s="4"/>
    </row>
    <row r="23" spans="2:18" x14ac:dyDescent="0.25">
      <c r="B23" s="28" t="s">
        <v>24</v>
      </c>
      <c r="H23" s="4"/>
      <c r="R23" s="29"/>
    </row>
    <row r="24" spans="2:18" x14ac:dyDescent="0.25">
      <c r="B24" s="28"/>
      <c r="H24" s="4"/>
      <c r="R24" s="3"/>
    </row>
    <row r="25" spans="2:18" ht="18.75" x14ac:dyDescent="0.3">
      <c r="B25" s="27" t="s">
        <v>25</v>
      </c>
    </row>
    <row r="26" spans="2:18" x14ac:dyDescent="0.25">
      <c r="B26" s="30" t="s">
        <v>26</v>
      </c>
      <c r="C26" t="s">
        <v>42</v>
      </c>
    </row>
    <row r="27" spans="2:18" x14ac:dyDescent="0.25">
      <c r="B27" s="30" t="s">
        <v>27</v>
      </c>
      <c r="C27" t="s">
        <v>40</v>
      </c>
    </row>
    <row r="28" spans="2:18" x14ac:dyDescent="0.25">
      <c r="B28" s="30" t="s">
        <v>28</v>
      </c>
      <c r="C28" t="s">
        <v>41</v>
      </c>
    </row>
    <row r="29" spans="2:18" x14ac:dyDescent="0.25">
      <c r="B29" s="30" t="s">
        <v>29</v>
      </c>
      <c r="C29" t="s">
        <v>30</v>
      </c>
    </row>
    <row r="30" spans="2:18" x14ac:dyDescent="0.25">
      <c r="B30" s="30" t="s">
        <v>31</v>
      </c>
      <c r="C30" t="s">
        <v>32</v>
      </c>
    </row>
    <row r="31" spans="2:18" x14ac:dyDescent="0.25">
      <c r="B31" s="30" t="s">
        <v>33</v>
      </c>
      <c r="C31" t="s">
        <v>34</v>
      </c>
    </row>
    <row r="32" spans="2:18" x14ac:dyDescent="0.25">
      <c r="B32" s="30" t="s">
        <v>35</v>
      </c>
      <c r="C32" t="s">
        <v>36</v>
      </c>
    </row>
    <row r="33" spans="2:3" x14ac:dyDescent="0.25">
      <c r="B33" s="30" t="s">
        <v>37</v>
      </c>
      <c r="C33" t="s">
        <v>38</v>
      </c>
    </row>
    <row r="39" spans="2:3" ht="18.75" x14ac:dyDescent="0.3">
      <c r="B39" s="27"/>
    </row>
    <row r="40" spans="2:3" x14ac:dyDescent="0.25">
      <c r="B40" s="28"/>
    </row>
    <row r="42" spans="2:3" ht="18.75" x14ac:dyDescent="0.3">
      <c r="B42" s="27"/>
    </row>
    <row r="43" spans="2:3" x14ac:dyDescent="0.25">
      <c r="B43" s="28"/>
    </row>
    <row r="44" spans="2:3" x14ac:dyDescent="0.25">
      <c r="B44" s="28"/>
    </row>
    <row r="45" spans="2:3" x14ac:dyDescent="0.25">
      <c r="B45" s="28"/>
    </row>
    <row r="46" spans="2:3" x14ac:dyDescent="0.25">
      <c r="B46" s="28"/>
    </row>
  </sheetData>
  <mergeCells count="3">
    <mergeCell ref="C12:D12"/>
    <mergeCell ref="G12:H12"/>
    <mergeCell ref="K12:L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yeonkyung baik</dc:creator>
  <cp:lastModifiedBy>yeonkyung baik</cp:lastModifiedBy>
  <dcterms:created xsi:type="dcterms:W3CDTF">2023-05-01T03:35:08Z</dcterms:created>
  <dcterms:modified xsi:type="dcterms:W3CDTF">2023-05-10T02:30:15Z</dcterms:modified>
</cp:coreProperties>
</file>